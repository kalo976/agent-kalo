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es à créer" sheetId="1" state="visible" r:id="rId3"/>
    <sheet name="Fiches en ligne" sheetId="2" state="visible" r:id="rId4"/>
  </sheets>
  <definedNames>
    <definedName function="false" hidden="true" localSheetId="0" name="_xlnm._FilterDatabase" vbProcedure="false">'Fiches à créer'!$A$4:$I$49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<sst xmlns="http://schemas.openxmlformats.org/spreadsheetml/2006/main" count="316" uniqueCount="188">
  <si>
    <t xml:space="preserve">Fiches produit à créer sur kalo.yt — calendrier Facebook Kalo, octobre 2026</t>
  </si>
  <si>
    <t xml:space="preserve">Vérification du 06/10/2026 (recherche kalo.yt par marque et désignation). Prix TTC = export Sage du 06/10 (prix magasin = prix site, brief 06 §5). Stock dépôt au 06/10.</t>
  </si>
  <si>
    <t xml:space="preserve">Premier post</t>
  </si>
  <si>
    <t xml:space="preserve">Date du post</t>
  </si>
  <si>
    <t xml:space="preserve">Référence Sage</t>
  </si>
  <si>
    <t xml:space="preserve">Code-barres (EAN)</t>
  </si>
  <si>
    <t xml:space="preserve">Désignation</t>
  </si>
  <si>
    <t xml:space="preserve">Prix TTC (€)</t>
  </si>
  <si>
    <t xml:space="preserve">Stock dépôt 06/10</t>
  </si>
  <si>
    <t xml:space="preserve">Catégorie Sage</t>
  </si>
  <si>
    <t xml:space="preserve">Toutes les apparitions</t>
  </si>
  <si>
    <t xml:space="preserve">P01</t>
  </si>
  <si>
    <t xml:space="preserve">65A6S</t>
  </si>
  <si>
    <t xml:space="preserve">6942351430751</t>
  </si>
  <si>
    <t xml:space="preserve">TV Hisense 65" (165 cm) 4K Smart TV</t>
  </si>
  <si>
    <t xml:space="preserve">21 - LCD</t>
  </si>
  <si>
    <t xml:space="preserve">F14X71WHST</t>
  </si>
  <si>
    <t xml:space="preserve">8806096057704</t>
  </si>
  <si>
    <t xml:space="preserve">Lave-linge LG 11 kg, 1400 tr/min, TurboWash, écran LCD, blanc, classe A</t>
  </si>
  <si>
    <t xml:space="preserve">19 - MACHINE A LAVER</t>
  </si>
  <si>
    <t xml:space="preserve">P01, P04</t>
  </si>
  <si>
    <t xml:space="preserve">GSLC40PYPE</t>
  </si>
  <si>
    <t xml:space="preserve">sans gencode</t>
  </si>
  <si>
    <t xml:space="preserve">Réfrigérateur américain LG 638 L (417 + 221 L), No Frost, Smart Inverter, distributeur d'eau et glaçons, silver, classe E</t>
  </si>
  <si>
    <t xml:space="preserve">MARCHANDISES</t>
  </si>
  <si>
    <t xml:space="preserve">P01, P06</t>
  </si>
  <si>
    <t xml:space="preserve">HYMW-M25E1B</t>
  </si>
  <si>
    <t xml:space="preserve">Micro-ondes Hyundai 25 L, 1000 W, 5 niveaux, grill, commandes mécaniques, noir et verre</t>
  </si>
  <si>
    <t xml:space="preserve">16 - FOUR MICRO ONDE</t>
  </si>
  <si>
    <t xml:space="preserve">P01, P03</t>
  </si>
  <si>
    <t xml:space="preserve">L896S304</t>
  </si>
  <si>
    <t xml:space="preserve">3168430361195</t>
  </si>
  <si>
    <t xml:space="preserve">Set Tefal Ingenio Daily Cook : poêles 16 et 20 cm + poignée amovible</t>
  </si>
  <si>
    <t xml:space="preserve">nan</t>
  </si>
  <si>
    <t xml:space="preserve">P01, P07</t>
  </si>
  <si>
    <t xml:space="preserve">YY2910FD</t>
  </si>
  <si>
    <t xml:space="preserve">3700342426809</t>
  </si>
  <si>
    <t xml:space="preserve">Machine à café Krups Nespresso Essenza Mini, noir piano</t>
  </si>
  <si>
    <t xml:space="preserve">36 - CAFETIERE</t>
  </si>
  <si>
    <t xml:space="preserve">P02</t>
  </si>
  <si>
    <t xml:space="preserve">HYRF-DTM356EB</t>
  </si>
  <si>
    <t xml:space="preserve">Réfrigérateur 2 portes Hyundai 206 L, avec clé, Defrost, noir, classe E</t>
  </si>
  <si>
    <t xml:space="preserve">11 - REFRIGERATEUR</t>
  </si>
  <si>
    <t xml:space="preserve">HYRF-DTM356EW</t>
  </si>
  <si>
    <t xml:space="preserve">Réfrigérateur 2 portes Hyundai 206 L, avec clé, Defrost, blanc, classe E</t>
  </si>
  <si>
    <t xml:space="preserve">HYRF-DTM360EB</t>
  </si>
  <si>
    <t xml:space="preserve">Réfrigérateur 2 portes Hyundai 248 L (198 + 50 L), froid statique, noir, classe E</t>
  </si>
  <si>
    <t xml:space="preserve">RT422N4ACE</t>
  </si>
  <si>
    <t xml:space="preserve">6921727076762</t>
  </si>
  <si>
    <t xml:space="preserve">Réfrigérateur 2 portes Hisense 325 L (252 + 73 L), No Frost, inox look, classe E</t>
  </si>
  <si>
    <t xml:space="preserve">RT600N4WCE</t>
  </si>
  <si>
    <t xml:space="preserve">6921727074683</t>
  </si>
  <si>
    <t xml:space="preserve">Réfrigérateur 2 portes Hisense 467 L (366 + 101 L), No Frost, distributeur d'eau, inox, classe E</t>
  </si>
  <si>
    <t xml:space="preserve">P03</t>
  </si>
  <si>
    <t xml:space="preserve">B5541102</t>
  </si>
  <si>
    <t xml:space="preserve">3168430297845</t>
  </si>
  <si>
    <t xml:space="preserve">Crêpière Tefal Easy Cook &amp; Clean 28 cm</t>
  </si>
  <si>
    <t xml:space="preserve">FRIZ187N</t>
  </si>
  <si>
    <t xml:space="preserve">3700519329407</t>
  </si>
  <si>
    <t xml:space="preserve">Cuiseur à riz Fromatic 1,8 L, 700 W, cuisson automatique, maintien au chaud, noir</t>
  </si>
  <si>
    <t xml:space="preserve">38 - PEM CUISEUR MULTIFONCTION</t>
  </si>
  <si>
    <t xml:space="preserve">HYMW-E30E1GI</t>
  </si>
  <si>
    <t xml:space="preserve">3760326071951</t>
  </si>
  <si>
    <t xml:space="preserve">Micro-ondes Hyundai 30 L, grill</t>
  </si>
  <si>
    <t xml:space="preserve">P04</t>
  </si>
  <si>
    <t xml:space="preserve">HYWM-1040E</t>
  </si>
  <si>
    <t xml:space="preserve">3760326071890</t>
  </si>
  <si>
    <t xml:space="preserve">Lave-linge Hyundai 10 kg, 1400 tr/min, afficheur LED, classe A</t>
  </si>
  <si>
    <t xml:space="preserve">WF1I6022BT</t>
  </si>
  <si>
    <t xml:space="preserve">Lave-linge Hisense 6 kg, 1200 tr/min, noir, classe E</t>
  </si>
  <si>
    <t xml:space="preserve">WF1I7022BT</t>
  </si>
  <si>
    <t xml:space="preserve">6942147701763</t>
  </si>
  <si>
    <t xml:space="preserve">Lave-linge Hisense 7 kg, 1200 tr/min, Inverter, vapeur, titane, classe A</t>
  </si>
  <si>
    <t xml:space="preserve">WF1I7022BWJ</t>
  </si>
  <si>
    <t xml:space="preserve">6901101837462</t>
  </si>
  <si>
    <t xml:space="preserve">Lave-linge Hisense 7 kg, 1200 tr/min, Inverter, vapeur, blanc, classe E</t>
  </si>
  <si>
    <t xml:space="preserve">18 - LAVE VAISSELLE</t>
  </si>
  <si>
    <t xml:space="preserve">P05</t>
  </si>
  <si>
    <t xml:space="preserve">E3284644</t>
  </si>
  <si>
    <t xml:space="preserve">3168430377370</t>
  </si>
  <si>
    <t xml:space="preserve">Faitout Tefal Emotion+ Space+ 24 cm avec couvercle</t>
  </si>
  <si>
    <t xml:space="preserve">591 - PEM DIVERS</t>
  </si>
  <si>
    <t xml:space="preserve">E3286145</t>
  </si>
  <si>
    <t xml:space="preserve">3168430382206</t>
  </si>
  <si>
    <t xml:space="preserve">Marmite Tefal Emotion+ 22 cm avec couvercle</t>
  </si>
  <si>
    <t xml:space="preserve">FP242B10</t>
  </si>
  <si>
    <t xml:space="preserve">3016667292006</t>
  </si>
  <si>
    <t xml:space="preserve">Robot multifonction Moulinex Easy Force, bol 2,4 L, 800 W, 15 fonctions, 4 accessoires</t>
  </si>
  <si>
    <t xml:space="preserve">46 - PEM ROBOT MENAGER</t>
  </si>
  <si>
    <t xml:space="preserve">FP542111</t>
  </si>
  <si>
    <t xml:space="preserve">3016661158148</t>
  </si>
  <si>
    <t xml:space="preserve">Robot multifonction Moulinex Double Force Compact, bols 2,2 L + 1,25 L, 800 W</t>
  </si>
  <si>
    <t xml:space="preserve">K2569104</t>
  </si>
  <si>
    <t xml:space="preserve">3168430339767</t>
  </si>
  <si>
    <t xml:space="preserve">Couteau Tefal Eversharp avec aiguiseur</t>
  </si>
  <si>
    <t xml:space="preserve">LM355A10</t>
  </si>
  <si>
    <t xml:space="preserve">3016661152894</t>
  </si>
  <si>
    <t xml:space="preserve">Blender Moulinex 1,75 L, 500 W, 2 vitesses, smoothie, glace pilée, verre doseur 800 mL</t>
  </si>
  <si>
    <t xml:space="preserve">45 - PEM BLENDER/MIXEUR</t>
  </si>
  <si>
    <t xml:space="preserve">P06</t>
  </si>
  <si>
    <t xml:space="preserve">FAMER444DGE</t>
  </si>
  <si>
    <t xml:space="preserve">Réfrigérateur américain Fromatic 446 L, No Frost, Inverter, gris foncé</t>
  </si>
  <si>
    <t xml:space="preserve">12 - FRIGO AMERICAIN</t>
  </si>
  <si>
    <t xml:space="preserve">GSGV80EPLD</t>
  </si>
  <si>
    <t xml:space="preserve">8806084224705</t>
  </si>
  <si>
    <t xml:space="preserve">Réfrigérateur américain LG 635 L (416 + 190 + 15 L) InstaView, No Frost, distributeur d'eau et glaçons, Wi-Fi, noir graphite, classe D</t>
  </si>
  <si>
    <t xml:space="preserve">HYRF-DCB357EI</t>
  </si>
  <si>
    <t xml:space="preserve">Réfrigérateur combiné Hyundai 262 L (191 + 71 L), Defrost, inox, classe E</t>
  </si>
  <si>
    <t xml:space="preserve">HYRF-DCB460EB</t>
  </si>
  <si>
    <t xml:space="preserve">Réfrigérateur combiné Hyundai 315 L (219 + 96 L), Defrost, gris, classe E</t>
  </si>
  <si>
    <t xml:space="preserve">P07</t>
  </si>
  <si>
    <t xml:space="preserve">L8960404</t>
  </si>
  <si>
    <t xml:space="preserve">3168430361171</t>
  </si>
  <si>
    <t xml:space="preserve">Poêle Tefal Ingenio Daily Cook 24 cm</t>
  </si>
  <si>
    <t xml:space="preserve">L8960604</t>
  </si>
  <si>
    <t xml:space="preserve">3168430361188</t>
  </si>
  <si>
    <t xml:space="preserve">Poêle Tefal Ingenio Daily Cook 28 cm</t>
  </si>
  <si>
    <t xml:space="preserve">L8973504</t>
  </si>
  <si>
    <t xml:space="preserve">Sauteuse Tefal Ingenio Daily Cook 24 cm</t>
  </si>
  <si>
    <t xml:space="preserve">L8977704</t>
  </si>
  <si>
    <t xml:space="preserve">3168430361201</t>
  </si>
  <si>
    <t xml:space="preserve">Wok Tefal Ingenio Daily Cook 26 cm</t>
  </si>
  <si>
    <t xml:space="preserve">L9739302</t>
  </si>
  <si>
    <t xml:space="preserve">3168430335950</t>
  </si>
  <si>
    <t xml:space="preserve">Set Tefal Ingenio Préférence : poêles 16 et 20 cm + poignée amovible</t>
  </si>
  <si>
    <t xml:space="preserve">L9863202</t>
  </si>
  <si>
    <t xml:space="preserve">3168430337664</t>
  </si>
  <si>
    <t xml:space="preserve">Poignée amovible Tefal Ingenio Premium</t>
  </si>
  <si>
    <t xml:space="preserve">P08</t>
  </si>
  <si>
    <t xml:space="preserve">EVS-CH650SD-E</t>
  </si>
  <si>
    <t xml:space="preserve">3760326071678</t>
  </si>
  <si>
    <t xml:space="preserve">Congélateur coffre Eversteel 560 L, froid statique, classe E</t>
  </si>
  <si>
    <t xml:space="preserve">10 - CONGELATEUR</t>
  </si>
  <si>
    <t xml:space="preserve">HYMW-E42C1GB</t>
  </si>
  <si>
    <t xml:space="preserve">3760326071968</t>
  </si>
  <si>
    <t xml:space="preserve">Micro-ondes Hyundai 42 L, grill</t>
  </si>
  <si>
    <t xml:space="preserve">P05306</t>
  </si>
  <si>
    <t xml:space="preserve">3045384305003</t>
  </si>
  <si>
    <t xml:space="preserve">Cocotte-minute SEB Authentique 4,5 L, tous feux</t>
  </si>
  <si>
    <t xml:space="preserve">47 - PEM ACCESSOIRE CUISINE</t>
  </si>
  <si>
    <t xml:space="preserve">P09</t>
  </si>
  <si>
    <t xml:space="preserve">23111734B</t>
  </si>
  <si>
    <t xml:space="preserve">4047443377791</t>
  </si>
  <si>
    <t xml:space="preserve">Détartrant rapide bio Xavax 250 mL</t>
  </si>
  <si>
    <t xml:space="preserve">DT2020C0</t>
  </si>
  <si>
    <t xml:space="preserve">3121040088456</t>
  </si>
  <si>
    <t xml:space="preserve">Défroisseur vapeur Calor Pure Pop, ultracompact, tête réversible, bleu</t>
  </si>
  <si>
    <t xml:space="preserve">50 - PEM FER A REPASSER</t>
  </si>
  <si>
    <t xml:space="preserve">DT8765C0</t>
  </si>
  <si>
    <t xml:space="preserve">3121040094228</t>
  </si>
  <si>
    <t xml:space="preserve">Défroisseur Calor Pure Force 3 en 1, 35 g/min, 2 brosses, 1800 W</t>
  </si>
  <si>
    <t xml:space="preserve">RH1832E0</t>
  </si>
  <si>
    <t xml:space="preserve">3221616176508</t>
  </si>
  <si>
    <t xml:space="preserve">Aspirateur balai sans fil Rowenta X-Force 8.80 Allergy</t>
  </si>
  <si>
    <t xml:space="preserve">48 - PEM ASPIRATEUR</t>
  </si>
  <si>
    <t xml:space="preserve">SV6212C0</t>
  </si>
  <si>
    <t xml:space="preserve">3121040098011</t>
  </si>
  <si>
    <t xml:space="preserve">Centrale vapeur Calor Power Pro Compact 200, 6,3 bars, 2400 W, bleu</t>
  </si>
  <si>
    <t xml:space="preserve">P10</t>
  </si>
  <si>
    <t xml:space="preserve">A1728311</t>
  </si>
  <si>
    <t xml:space="preserve">0194644298982</t>
  </si>
  <si>
    <t xml:space="preserve">Station d'énergie portable Anker Solix C300 (DC / USB)</t>
  </si>
  <si>
    <t xml:space="preserve">29003 -  BATTERIE / CHARGEUR </t>
  </si>
  <si>
    <t xml:space="preserve">EXSO830F1PRO</t>
  </si>
  <si>
    <t xml:space="preserve">Multiprise 8 prises avec interrupteur, 3680 W</t>
  </si>
  <si>
    <t xml:space="preserve">23 - ACCESSOIRE POUR LCD</t>
  </si>
  <si>
    <t xml:space="preserve">HYCF-HM371BEEW</t>
  </si>
  <si>
    <t xml:space="preserve">3760326071692</t>
  </si>
  <si>
    <t xml:space="preserve">Congélateur coffre Hyundai 371 L, froid statique, blanc, classe E</t>
  </si>
  <si>
    <t xml:space="preserve">Nombre de fiches à créer</t>
  </si>
  <si>
    <t xml:space="preserve">Valeur au prix de vente (€)</t>
  </si>
  <si>
    <t xml:space="preserve">somme prix × stock dépôt des fiches manquantes</t>
  </si>
  <si>
    <t xml:space="preserve">Par publication</t>
  </si>
  <si>
    <t xml:space="preserve">Page kalo.yt (vérifiée le 06/10)</t>
  </si>
  <si>
    <t xml:space="preserve">Apparitions</t>
  </si>
  <si>
    <t xml:space="preserve">FRIZ155R</t>
  </si>
  <si>
    <t xml:space="preserve">Cuiseur à riz Fromatic 1,5 L, 500 W, cuisson automatique, maintien au chaud, rouge</t>
  </si>
  <si>
    <t xml:space="preserve">https://kalo.yt/fr/accueil/2540-cuiseur-riz-15l-500w-cuissauto-ftgarder-chaudacc-rouge-fromatic.html</t>
  </si>
  <si>
    <t xml:space="preserve">FRIZ229V</t>
  </si>
  <si>
    <t xml:space="preserve">Cuiseur à riz Fromatic 2,2 L, 900 W, cuisson automatique, maintien au chaud, vert</t>
  </si>
  <si>
    <t xml:space="preserve">https://kalo.yt/fr/accueil/2542-cuiseur-riz-22l-900w-cuissauto-ftgarder-chaudacc-vert-fromatic.html</t>
  </si>
  <si>
    <t xml:space="preserve">P03, P08</t>
  </si>
  <si>
    <t xml:space="preserve">HYWM-WLFL71016</t>
  </si>
  <si>
    <t xml:space="preserve">Lave-linge Hyundai 7 kg, 1200 tr/min, afficheur LED, blanc, classe E</t>
  </si>
  <si>
    <t xml:space="preserve">https://kalo.yt/fr/gros-electromenager/2821-mal-f-7kg-1200trmn-e-led-blanc-hyundai.html</t>
  </si>
  <si>
    <t xml:space="preserve">FC-LD60A</t>
  </si>
  <si>
    <t xml:space="preserve">Vitrine à boissons Eversteel 370 L, 1 porte</t>
  </si>
  <si>
    <t xml:space="preserve">https://kalo.yt/fr/accueil/1922-vitrine-boissons-370l-1-porte-eversteel.html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</si>
</sst>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@"/>
    <numFmt numFmtId="167" formatCode="#,##0.00&quot; €&quot;"/>
    <numFmt numFmtId="168" formatCode="#,##0&quot; €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3476B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347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DB4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347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kalo.yt/fr/accueil/2540-cuiseur-riz-15l-500w-cuissauto-ftgarder-chaudacc-rouge-fromatic.html" TargetMode="External"/><Relationship Id="rId2" Type="http://schemas.openxmlformats.org/officeDocument/2006/relationships/hyperlink" Target="https://kalo.yt/fr/accueil/2542-cuiseur-riz-22l-900w-cuissauto-ftgarder-chaudacc-vert-fromatic.html" TargetMode="External"/><Relationship Id="rId3" Type="http://schemas.openxmlformats.org/officeDocument/2006/relationships/hyperlink" Target="https://kalo.yt/fr/gros-electromenager/2821-mal-f-7kg-1200trmn-e-led-blanc-hyundai.html" TargetMode="External"/><Relationship Id="rId4" Type="http://schemas.openxmlformats.org/officeDocument/2006/relationships/hyperlink" Target="https://kalo.yt/fr/accueil/1922-vitrine-boissons-370l-1-porte-eversteel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4" min="3" style="1" width="18"/>
    <col collapsed="false" customWidth="true" hidden="false" outlineLevel="0" max="5" min="5" style="1" width="70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30"/>
    <col collapsed="false" customWidth="true" hidden="false" outlineLevel="0" max="9" min="9" style="1" width="24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true" outlineLevel="0" collapsed="false">
      <c r="A5" s="5" t="s">
        <v>11</v>
      </c>
      <c r="B5" s="6" t="n">
        <v>46304</v>
      </c>
      <c r="C5" s="5" t="s">
        <v>12</v>
      </c>
      <c r="D5" s="7" t="s">
        <v>13</v>
      </c>
      <c r="E5" s="5" t="s">
        <v>14</v>
      </c>
      <c r="F5" s="8" t="n">
        <v>990</v>
      </c>
      <c r="G5" s="5" t="n">
        <v>90</v>
      </c>
      <c r="H5" s="5" t="s">
        <v>15</v>
      </c>
      <c r="I5" s="5" t="s">
        <v>11</v>
      </c>
    </row>
    <row r="6" customFormat="false" ht="15" hidden="false" customHeight="true" outlineLevel="0" collapsed="false">
      <c r="A6" s="5" t="s">
        <v>11</v>
      </c>
      <c r="B6" s="6" t="n">
        <v>46304</v>
      </c>
      <c r="C6" s="5" t="s">
        <v>16</v>
      </c>
      <c r="D6" s="7" t="s">
        <v>17</v>
      </c>
      <c r="E6" s="5" t="s">
        <v>18</v>
      </c>
      <c r="F6" s="8" t="n">
        <v>899</v>
      </c>
      <c r="G6" s="5" t="n">
        <v>161</v>
      </c>
      <c r="H6" s="5" t="s">
        <v>19</v>
      </c>
      <c r="I6" s="5" t="s">
        <v>20</v>
      </c>
    </row>
    <row r="7" customFormat="false" ht="15" hidden="false" customHeight="true" outlineLevel="0" collapsed="false">
      <c r="A7" s="5" t="s">
        <v>11</v>
      </c>
      <c r="B7" s="6" t="n">
        <v>46304</v>
      </c>
      <c r="C7" s="5" t="s">
        <v>21</v>
      </c>
      <c r="D7" s="7" t="s">
        <v>22</v>
      </c>
      <c r="E7" s="5" t="s">
        <v>23</v>
      </c>
      <c r="F7" s="8" t="n">
        <v>1869</v>
      </c>
      <c r="G7" s="5" t="n">
        <v>44</v>
      </c>
      <c r="H7" s="5" t="s">
        <v>24</v>
      </c>
      <c r="I7" s="5" t="s">
        <v>25</v>
      </c>
    </row>
    <row r="8" customFormat="false" ht="15" hidden="false" customHeight="true" outlineLevel="0" collapsed="false">
      <c r="A8" s="5" t="s">
        <v>11</v>
      </c>
      <c r="B8" s="6" t="n">
        <v>46304</v>
      </c>
      <c r="C8" s="5" t="s">
        <v>26</v>
      </c>
      <c r="D8" s="7" t="s">
        <v>22</v>
      </c>
      <c r="E8" s="5" t="s">
        <v>27</v>
      </c>
      <c r="F8" s="8" t="n">
        <v>119</v>
      </c>
      <c r="G8" s="5" t="n">
        <v>500</v>
      </c>
      <c r="H8" s="5" t="s">
        <v>28</v>
      </c>
      <c r="I8" s="5" t="s">
        <v>29</v>
      </c>
    </row>
    <row r="9" customFormat="false" ht="15" hidden="false" customHeight="true" outlineLevel="0" collapsed="false">
      <c r="A9" s="5" t="s">
        <v>11</v>
      </c>
      <c r="B9" s="6" t="n">
        <v>46304</v>
      </c>
      <c r="C9" s="5" t="s">
        <v>30</v>
      </c>
      <c r="D9" s="7" t="s">
        <v>31</v>
      </c>
      <c r="E9" s="5" t="s">
        <v>32</v>
      </c>
      <c r="F9" s="8" t="n">
        <v>39</v>
      </c>
      <c r="G9" s="5" t="n">
        <v>50</v>
      </c>
      <c r="H9" s="5" t="s">
        <v>33</v>
      </c>
      <c r="I9" s="5" t="s">
        <v>34</v>
      </c>
    </row>
    <row r="10" customFormat="false" ht="15" hidden="false" customHeight="true" outlineLevel="0" collapsed="false">
      <c r="A10" s="5" t="s">
        <v>11</v>
      </c>
      <c r="B10" s="6" t="n">
        <v>46304</v>
      </c>
      <c r="C10" s="5" t="s">
        <v>35</v>
      </c>
      <c r="D10" s="7" t="s">
        <v>36</v>
      </c>
      <c r="E10" s="5" t="s">
        <v>37</v>
      </c>
      <c r="F10" s="8" t="n">
        <v>159</v>
      </c>
      <c r="G10" s="5" t="n">
        <v>23</v>
      </c>
      <c r="H10" s="5" t="s">
        <v>38</v>
      </c>
      <c r="I10" s="5" t="s">
        <v>11</v>
      </c>
    </row>
    <row r="11" customFormat="false" ht="15" hidden="false" customHeight="true" outlineLevel="0" collapsed="false">
      <c r="A11" s="5" t="s">
        <v>39</v>
      </c>
      <c r="B11" s="6" t="n">
        <v>46307</v>
      </c>
      <c r="C11" s="5" t="s">
        <v>40</v>
      </c>
      <c r="D11" s="7" t="s">
        <v>22</v>
      </c>
      <c r="E11" s="5" t="s">
        <v>41</v>
      </c>
      <c r="F11" s="8" t="n">
        <v>299</v>
      </c>
      <c r="G11" s="5" t="n">
        <v>211</v>
      </c>
      <c r="H11" s="5" t="s">
        <v>42</v>
      </c>
      <c r="I11" s="5" t="s">
        <v>39</v>
      </c>
    </row>
    <row r="12" customFormat="false" ht="15" hidden="false" customHeight="true" outlineLevel="0" collapsed="false">
      <c r="A12" s="5" t="s">
        <v>39</v>
      </c>
      <c r="B12" s="6" t="n">
        <v>46307</v>
      </c>
      <c r="C12" s="5" t="s">
        <v>43</v>
      </c>
      <c r="D12" s="7" t="s">
        <v>22</v>
      </c>
      <c r="E12" s="5" t="s">
        <v>44</v>
      </c>
      <c r="F12" s="8" t="n">
        <v>279</v>
      </c>
      <c r="G12" s="5" t="n">
        <v>159</v>
      </c>
      <c r="H12" s="5" t="s">
        <v>42</v>
      </c>
      <c r="I12" s="5" t="s">
        <v>39</v>
      </c>
    </row>
    <row r="13" customFormat="false" ht="15" hidden="false" customHeight="true" outlineLevel="0" collapsed="false">
      <c r="A13" s="5" t="s">
        <v>39</v>
      </c>
      <c r="B13" s="6" t="n">
        <v>46307</v>
      </c>
      <c r="C13" s="5" t="s">
        <v>45</v>
      </c>
      <c r="D13" s="7" t="s">
        <v>22</v>
      </c>
      <c r="E13" s="5" t="s">
        <v>46</v>
      </c>
      <c r="F13" s="8" t="n">
        <v>359</v>
      </c>
      <c r="G13" s="5" t="n">
        <v>153</v>
      </c>
      <c r="H13" s="5" t="s">
        <v>42</v>
      </c>
      <c r="I13" s="5" t="s">
        <v>39</v>
      </c>
    </row>
    <row r="14" customFormat="false" ht="15" hidden="false" customHeight="true" outlineLevel="0" collapsed="false">
      <c r="A14" s="5" t="s">
        <v>39</v>
      </c>
      <c r="B14" s="6" t="n">
        <v>46307</v>
      </c>
      <c r="C14" s="5" t="s">
        <v>47</v>
      </c>
      <c r="D14" s="7" t="s">
        <v>48</v>
      </c>
      <c r="E14" s="5" t="s">
        <v>49</v>
      </c>
      <c r="F14" s="8" t="n">
        <v>579</v>
      </c>
      <c r="G14" s="5" t="n">
        <v>71</v>
      </c>
      <c r="H14" s="5" t="s">
        <v>42</v>
      </c>
      <c r="I14" s="5" t="s">
        <v>39</v>
      </c>
    </row>
    <row r="15" customFormat="false" ht="15" hidden="false" customHeight="true" outlineLevel="0" collapsed="false">
      <c r="A15" s="5" t="s">
        <v>39</v>
      </c>
      <c r="B15" s="6" t="n">
        <v>46307</v>
      </c>
      <c r="C15" s="5" t="s">
        <v>50</v>
      </c>
      <c r="D15" s="7" t="s">
        <v>51</v>
      </c>
      <c r="E15" s="5" t="s">
        <v>52</v>
      </c>
      <c r="F15" s="8" t="n">
        <v>799</v>
      </c>
      <c r="G15" s="5" t="n">
        <v>58</v>
      </c>
      <c r="H15" s="5" t="s">
        <v>42</v>
      </c>
      <c r="I15" s="5" t="s">
        <v>39</v>
      </c>
    </row>
    <row r="16" customFormat="false" ht="15" hidden="false" customHeight="true" outlineLevel="0" collapsed="false">
      <c r="A16" s="5" t="s">
        <v>53</v>
      </c>
      <c r="B16" s="6" t="n">
        <v>46309</v>
      </c>
      <c r="C16" s="5" t="s">
        <v>54</v>
      </c>
      <c r="D16" s="7" t="s">
        <v>55</v>
      </c>
      <c r="E16" s="5" t="s">
        <v>56</v>
      </c>
      <c r="F16" s="8" t="n">
        <v>19</v>
      </c>
      <c r="G16" s="5" t="n">
        <v>31</v>
      </c>
      <c r="H16" s="5" t="s">
        <v>33</v>
      </c>
      <c r="I16" s="5" t="s">
        <v>53</v>
      </c>
    </row>
    <row r="17" customFormat="false" ht="15" hidden="false" customHeight="true" outlineLevel="0" collapsed="false">
      <c r="A17" s="5" t="s">
        <v>53</v>
      </c>
      <c r="B17" s="6" t="n">
        <v>46309</v>
      </c>
      <c r="C17" s="5" t="s">
        <v>57</v>
      </c>
      <c r="D17" s="7" t="s">
        <v>58</v>
      </c>
      <c r="E17" s="5" t="s">
        <v>59</v>
      </c>
      <c r="F17" s="8" t="n">
        <v>27.9</v>
      </c>
      <c r="G17" s="5" t="n">
        <v>1136</v>
      </c>
      <c r="H17" s="5" t="s">
        <v>60</v>
      </c>
      <c r="I17" s="5" t="s">
        <v>53</v>
      </c>
    </row>
    <row r="18" customFormat="false" ht="15" hidden="false" customHeight="true" outlineLevel="0" collapsed="false">
      <c r="A18" s="5" t="s">
        <v>53</v>
      </c>
      <c r="B18" s="6" t="n">
        <v>46309</v>
      </c>
      <c r="C18" s="5" t="s">
        <v>61</v>
      </c>
      <c r="D18" s="7" t="s">
        <v>62</v>
      </c>
      <c r="E18" s="5" t="s">
        <v>63</v>
      </c>
      <c r="F18" s="8" t="n">
        <v>149</v>
      </c>
      <c r="G18" s="5" t="n">
        <v>229</v>
      </c>
      <c r="H18" s="5" t="s">
        <v>28</v>
      </c>
      <c r="I18" s="5" t="s">
        <v>53</v>
      </c>
    </row>
    <row r="19" customFormat="false" ht="15" hidden="false" customHeight="true" outlineLevel="0" collapsed="false">
      <c r="A19" s="5" t="s">
        <v>64</v>
      </c>
      <c r="B19" s="6" t="n">
        <v>46311</v>
      </c>
      <c r="C19" s="5" t="s">
        <v>65</v>
      </c>
      <c r="D19" s="7" t="s">
        <v>66</v>
      </c>
      <c r="E19" s="5" t="s">
        <v>67</v>
      </c>
      <c r="F19" s="8" t="n">
        <v>499</v>
      </c>
      <c r="G19" s="5" t="n">
        <v>154</v>
      </c>
      <c r="H19" s="5" t="s">
        <v>19</v>
      </c>
      <c r="I19" s="5" t="s">
        <v>64</v>
      </c>
    </row>
    <row r="20" customFormat="false" ht="15" hidden="false" customHeight="true" outlineLevel="0" collapsed="false">
      <c r="A20" s="5" t="s">
        <v>64</v>
      </c>
      <c r="B20" s="6" t="n">
        <v>46311</v>
      </c>
      <c r="C20" s="5" t="s">
        <v>68</v>
      </c>
      <c r="D20" s="7" t="s">
        <v>22</v>
      </c>
      <c r="E20" s="5" t="s">
        <v>69</v>
      </c>
      <c r="F20" s="8" t="n">
        <v>299</v>
      </c>
      <c r="G20" s="5" t="n">
        <v>282</v>
      </c>
      <c r="H20" s="5" t="s">
        <v>19</v>
      </c>
      <c r="I20" s="5" t="s">
        <v>64</v>
      </c>
    </row>
    <row r="21" customFormat="false" ht="15" hidden="false" customHeight="true" outlineLevel="0" collapsed="false">
      <c r="A21" s="5" t="s">
        <v>64</v>
      </c>
      <c r="B21" s="6" t="n">
        <v>46311</v>
      </c>
      <c r="C21" s="5" t="s">
        <v>70</v>
      </c>
      <c r="D21" s="7" t="s">
        <v>71</v>
      </c>
      <c r="E21" s="5" t="s">
        <v>72</v>
      </c>
      <c r="F21" s="8" t="n">
        <v>399</v>
      </c>
      <c r="G21" s="5" t="n">
        <v>235</v>
      </c>
      <c r="H21" s="5" t="s">
        <v>19</v>
      </c>
      <c r="I21" s="5" t="s">
        <v>64</v>
      </c>
    </row>
    <row r="22" customFormat="false" ht="15" hidden="false" customHeight="true" outlineLevel="0" collapsed="false">
      <c r="A22" s="5" t="s">
        <v>64</v>
      </c>
      <c r="B22" s="6" t="n">
        <v>46311</v>
      </c>
      <c r="C22" s="5" t="s">
        <v>73</v>
      </c>
      <c r="D22" s="7" t="s">
        <v>74</v>
      </c>
      <c r="E22" s="5" t="s">
        <v>75</v>
      </c>
      <c r="F22" s="8" t="n">
        <v>379</v>
      </c>
      <c r="G22" s="5" t="n">
        <v>229</v>
      </c>
      <c r="H22" s="5" t="s">
        <v>76</v>
      </c>
      <c r="I22" s="5" t="s">
        <v>64</v>
      </c>
    </row>
    <row r="23" customFormat="false" ht="15" hidden="false" customHeight="true" outlineLevel="0" collapsed="false">
      <c r="A23" s="5" t="s">
        <v>77</v>
      </c>
      <c r="B23" s="6" t="n">
        <v>46314</v>
      </c>
      <c r="C23" s="5" t="s">
        <v>78</v>
      </c>
      <c r="D23" s="7" t="s">
        <v>79</v>
      </c>
      <c r="E23" s="5" t="s">
        <v>80</v>
      </c>
      <c r="F23" s="8" t="n">
        <v>59</v>
      </c>
      <c r="G23" s="5" t="n">
        <v>10</v>
      </c>
      <c r="H23" s="5" t="s">
        <v>81</v>
      </c>
      <c r="I23" s="5" t="s">
        <v>77</v>
      </c>
    </row>
    <row r="24" customFormat="false" ht="15" hidden="false" customHeight="true" outlineLevel="0" collapsed="false">
      <c r="A24" s="5" t="s">
        <v>77</v>
      </c>
      <c r="B24" s="6" t="n">
        <v>46314</v>
      </c>
      <c r="C24" s="5" t="s">
        <v>82</v>
      </c>
      <c r="D24" s="7" t="s">
        <v>83</v>
      </c>
      <c r="E24" s="5" t="s">
        <v>84</v>
      </c>
      <c r="F24" s="8" t="n">
        <v>49</v>
      </c>
      <c r="G24" s="5" t="n">
        <v>15</v>
      </c>
      <c r="H24" s="5" t="s">
        <v>33</v>
      </c>
      <c r="I24" s="5" t="s">
        <v>77</v>
      </c>
    </row>
    <row r="25" customFormat="false" ht="15" hidden="false" customHeight="true" outlineLevel="0" collapsed="false">
      <c r="A25" s="5" t="s">
        <v>77</v>
      </c>
      <c r="B25" s="6" t="n">
        <v>46314</v>
      </c>
      <c r="C25" s="5" t="s">
        <v>85</v>
      </c>
      <c r="D25" s="7" t="s">
        <v>86</v>
      </c>
      <c r="E25" s="5" t="s">
        <v>87</v>
      </c>
      <c r="F25" s="8" t="n">
        <v>95</v>
      </c>
      <c r="G25" s="5" t="n">
        <v>73</v>
      </c>
      <c r="H25" s="5" t="s">
        <v>88</v>
      </c>
      <c r="I25" s="5" t="s">
        <v>77</v>
      </c>
    </row>
    <row r="26" customFormat="false" ht="15" hidden="false" customHeight="true" outlineLevel="0" collapsed="false">
      <c r="A26" s="5" t="s">
        <v>77</v>
      </c>
      <c r="B26" s="6" t="n">
        <v>46314</v>
      </c>
      <c r="C26" s="5" t="s">
        <v>89</v>
      </c>
      <c r="D26" s="7" t="s">
        <v>90</v>
      </c>
      <c r="E26" s="5" t="s">
        <v>91</v>
      </c>
      <c r="F26" s="8" t="n">
        <v>99</v>
      </c>
      <c r="G26" s="5" t="n">
        <v>21</v>
      </c>
      <c r="H26" s="5" t="s">
        <v>88</v>
      </c>
      <c r="I26" s="5" t="s">
        <v>77</v>
      </c>
    </row>
    <row r="27" customFormat="false" ht="15" hidden="false" customHeight="true" outlineLevel="0" collapsed="false">
      <c r="A27" s="5" t="s">
        <v>77</v>
      </c>
      <c r="B27" s="6" t="n">
        <v>46314</v>
      </c>
      <c r="C27" s="5" t="s">
        <v>92</v>
      </c>
      <c r="D27" s="7" t="s">
        <v>93</v>
      </c>
      <c r="E27" s="5" t="s">
        <v>94</v>
      </c>
      <c r="F27" s="8" t="n">
        <v>29</v>
      </c>
      <c r="G27" s="5" t="n">
        <v>122</v>
      </c>
      <c r="H27" s="5" t="s">
        <v>24</v>
      </c>
      <c r="I27" s="5" t="s">
        <v>77</v>
      </c>
    </row>
    <row r="28" customFormat="false" ht="15" hidden="false" customHeight="true" outlineLevel="0" collapsed="false">
      <c r="A28" s="5" t="s">
        <v>77</v>
      </c>
      <c r="B28" s="6" t="n">
        <v>46314</v>
      </c>
      <c r="C28" s="5" t="s">
        <v>95</v>
      </c>
      <c r="D28" s="7" t="s">
        <v>96</v>
      </c>
      <c r="E28" s="5" t="s">
        <v>97</v>
      </c>
      <c r="F28" s="8" t="n">
        <v>69</v>
      </c>
      <c r="G28" s="5" t="n">
        <v>128</v>
      </c>
      <c r="H28" s="5" t="s">
        <v>98</v>
      </c>
      <c r="I28" s="5" t="s">
        <v>77</v>
      </c>
    </row>
    <row r="29" customFormat="false" ht="15" hidden="false" customHeight="true" outlineLevel="0" collapsed="false">
      <c r="A29" s="5" t="s">
        <v>99</v>
      </c>
      <c r="B29" s="6" t="n">
        <v>46316</v>
      </c>
      <c r="C29" s="5" t="s">
        <v>100</v>
      </c>
      <c r="D29" s="7" t="s">
        <v>22</v>
      </c>
      <c r="E29" s="5" t="s">
        <v>101</v>
      </c>
      <c r="F29" s="8" t="n">
        <v>799</v>
      </c>
      <c r="G29" s="5" t="n">
        <v>54</v>
      </c>
      <c r="H29" s="5" t="s">
        <v>102</v>
      </c>
      <c r="I29" s="5" t="s">
        <v>99</v>
      </c>
    </row>
    <row r="30" customFormat="false" ht="15" hidden="false" customHeight="true" outlineLevel="0" collapsed="false">
      <c r="A30" s="5" t="s">
        <v>99</v>
      </c>
      <c r="B30" s="6" t="n">
        <v>46316</v>
      </c>
      <c r="C30" s="5" t="s">
        <v>103</v>
      </c>
      <c r="D30" s="7" t="s">
        <v>104</v>
      </c>
      <c r="E30" s="5" t="s">
        <v>105</v>
      </c>
      <c r="F30" s="8" t="n">
        <v>2990</v>
      </c>
      <c r="G30" s="5" t="n">
        <v>46</v>
      </c>
      <c r="H30" s="5" t="s">
        <v>102</v>
      </c>
      <c r="I30" s="5" t="s">
        <v>99</v>
      </c>
    </row>
    <row r="31" customFormat="false" ht="15" hidden="false" customHeight="true" outlineLevel="0" collapsed="false">
      <c r="A31" s="5" t="s">
        <v>99</v>
      </c>
      <c r="B31" s="6" t="n">
        <v>46316</v>
      </c>
      <c r="C31" s="5" t="s">
        <v>106</v>
      </c>
      <c r="D31" s="7" t="s">
        <v>22</v>
      </c>
      <c r="E31" s="5" t="s">
        <v>107</v>
      </c>
      <c r="F31" s="8" t="n">
        <v>389</v>
      </c>
      <c r="G31" s="5" t="n">
        <v>142</v>
      </c>
      <c r="H31" s="5" t="s">
        <v>42</v>
      </c>
      <c r="I31" s="5" t="s">
        <v>99</v>
      </c>
    </row>
    <row r="32" customFormat="false" ht="15" hidden="false" customHeight="true" outlineLevel="0" collapsed="false">
      <c r="A32" s="5" t="s">
        <v>99</v>
      </c>
      <c r="B32" s="6" t="n">
        <v>46316</v>
      </c>
      <c r="C32" s="5" t="s">
        <v>108</v>
      </c>
      <c r="D32" s="7" t="s">
        <v>22</v>
      </c>
      <c r="E32" s="5" t="s">
        <v>109</v>
      </c>
      <c r="F32" s="8" t="n">
        <v>479</v>
      </c>
      <c r="G32" s="5" t="n">
        <v>104</v>
      </c>
      <c r="H32" s="5" t="s">
        <v>42</v>
      </c>
      <c r="I32" s="5" t="s">
        <v>99</v>
      </c>
    </row>
    <row r="33" customFormat="false" ht="15" hidden="false" customHeight="true" outlineLevel="0" collapsed="false">
      <c r="A33" s="5" t="s">
        <v>110</v>
      </c>
      <c r="B33" s="6" t="n">
        <v>46318</v>
      </c>
      <c r="C33" s="5" t="s">
        <v>111</v>
      </c>
      <c r="D33" s="7" t="s">
        <v>112</v>
      </c>
      <c r="E33" s="5" t="s">
        <v>113</v>
      </c>
      <c r="F33" s="8" t="n">
        <v>19.9</v>
      </c>
      <c r="G33" s="5" t="n">
        <v>59</v>
      </c>
      <c r="H33" s="5" t="s">
        <v>33</v>
      </c>
      <c r="I33" s="5" t="s">
        <v>110</v>
      </c>
    </row>
    <row r="34" customFormat="false" ht="15" hidden="false" customHeight="true" outlineLevel="0" collapsed="false">
      <c r="A34" s="5" t="s">
        <v>110</v>
      </c>
      <c r="B34" s="6" t="n">
        <v>46318</v>
      </c>
      <c r="C34" s="5" t="s">
        <v>114</v>
      </c>
      <c r="D34" s="7" t="s">
        <v>115</v>
      </c>
      <c r="E34" s="5" t="s">
        <v>116</v>
      </c>
      <c r="F34" s="8" t="n">
        <v>22</v>
      </c>
      <c r="G34" s="5" t="n">
        <v>27</v>
      </c>
      <c r="H34" s="5" t="s">
        <v>33</v>
      </c>
      <c r="I34" s="5" t="s">
        <v>110</v>
      </c>
    </row>
    <row r="35" customFormat="false" ht="15" hidden="false" customHeight="true" outlineLevel="0" collapsed="false">
      <c r="A35" s="5" t="s">
        <v>110</v>
      </c>
      <c r="B35" s="6" t="n">
        <v>46318</v>
      </c>
      <c r="C35" s="5" t="s">
        <v>117</v>
      </c>
      <c r="D35" s="7" t="s">
        <v>22</v>
      </c>
      <c r="E35" s="5" t="s">
        <v>118</v>
      </c>
      <c r="F35" s="8" t="n">
        <v>25</v>
      </c>
      <c r="G35" s="5" t="n">
        <v>43</v>
      </c>
      <c r="H35" s="5" t="s">
        <v>33</v>
      </c>
      <c r="I35" s="5" t="s">
        <v>110</v>
      </c>
    </row>
    <row r="36" customFormat="false" ht="15" hidden="false" customHeight="true" outlineLevel="0" collapsed="false">
      <c r="A36" s="5" t="s">
        <v>110</v>
      </c>
      <c r="B36" s="6" t="n">
        <v>46318</v>
      </c>
      <c r="C36" s="5" t="s">
        <v>119</v>
      </c>
      <c r="D36" s="7" t="s">
        <v>120</v>
      </c>
      <c r="E36" s="5" t="s">
        <v>121</v>
      </c>
      <c r="F36" s="8" t="n">
        <v>24</v>
      </c>
      <c r="G36" s="5" t="n">
        <v>22</v>
      </c>
      <c r="H36" s="5" t="s">
        <v>33</v>
      </c>
      <c r="I36" s="5" t="s">
        <v>110</v>
      </c>
    </row>
    <row r="37" customFormat="false" ht="15" hidden="false" customHeight="true" outlineLevel="0" collapsed="false">
      <c r="A37" s="5" t="s">
        <v>110</v>
      </c>
      <c r="B37" s="6" t="n">
        <v>46318</v>
      </c>
      <c r="C37" s="5" t="s">
        <v>122</v>
      </c>
      <c r="D37" s="7" t="s">
        <v>123</v>
      </c>
      <c r="E37" s="5" t="s">
        <v>124</v>
      </c>
      <c r="F37" s="8" t="n">
        <v>89</v>
      </c>
      <c r="G37" s="5" t="n">
        <v>33</v>
      </c>
      <c r="H37" s="5" t="s">
        <v>33</v>
      </c>
      <c r="I37" s="5" t="s">
        <v>110</v>
      </c>
    </row>
    <row r="38" customFormat="false" ht="15" hidden="false" customHeight="true" outlineLevel="0" collapsed="false">
      <c r="A38" s="5" t="s">
        <v>110</v>
      </c>
      <c r="B38" s="6" t="n">
        <v>46318</v>
      </c>
      <c r="C38" s="5" t="s">
        <v>125</v>
      </c>
      <c r="D38" s="7" t="s">
        <v>126</v>
      </c>
      <c r="E38" s="5" t="s">
        <v>127</v>
      </c>
      <c r="F38" s="8" t="n">
        <v>29</v>
      </c>
      <c r="G38" s="5" t="n">
        <v>50</v>
      </c>
      <c r="H38" s="5" t="s">
        <v>33</v>
      </c>
      <c r="I38" s="5" t="s">
        <v>110</v>
      </c>
    </row>
    <row r="39" customFormat="false" ht="15" hidden="false" customHeight="true" outlineLevel="0" collapsed="false">
      <c r="A39" s="5" t="s">
        <v>128</v>
      </c>
      <c r="B39" s="6" t="n">
        <v>46321</v>
      </c>
      <c r="C39" s="5" t="s">
        <v>129</v>
      </c>
      <c r="D39" s="7" t="s">
        <v>130</v>
      </c>
      <c r="E39" s="5" t="s">
        <v>131</v>
      </c>
      <c r="F39" s="8" t="n">
        <v>899</v>
      </c>
      <c r="G39" s="5" t="n">
        <v>88</v>
      </c>
      <c r="H39" s="5" t="s">
        <v>132</v>
      </c>
      <c r="I39" s="5" t="s">
        <v>128</v>
      </c>
    </row>
    <row r="40" customFormat="false" ht="15" hidden="false" customHeight="true" outlineLevel="0" collapsed="false">
      <c r="A40" s="5" t="s">
        <v>128</v>
      </c>
      <c r="B40" s="6" t="n">
        <v>46321</v>
      </c>
      <c r="C40" s="5" t="s">
        <v>133</v>
      </c>
      <c r="D40" s="7" t="s">
        <v>134</v>
      </c>
      <c r="E40" s="5" t="s">
        <v>135</v>
      </c>
      <c r="F40" s="8" t="n">
        <v>179</v>
      </c>
      <c r="G40" s="5" t="n">
        <v>147</v>
      </c>
      <c r="H40" s="5" t="s">
        <v>28</v>
      </c>
      <c r="I40" s="5" t="s">
        <v>128</v>
      </c>
    </row>
    <row r="41" customFormat="false" ht="15" hidden="false" customHeight="true" outlineLevel="0" collapsed="false">
      <c r="A41" s="5" t="s">
        <v>128</v>
      </c>
      <c r="B41" s="6" t="n">
        <v>46321</v>
      </c>
      <c r="C41" s="5" t="s">
        <v>136</v>
      </c>
      <c r="D41" s="7" t="s">
        <v>137</v>
      </c>
      <c r="E41" s="5" t="s">
        <v>138</v>
      </c>
      <c r="F41" s="8" t="n">
        <v>149</v>
      </c>
      <c r="G41" s="5" t="n">
        <v>11</v>
      </c>
      <c r="H41" s="5" t="s">
        <v>139</v>
      </c>
      <c r="I41" s="5" t="s">
        <v>128</v>
      </c>
    </row>
    <row r="42" customFormat="false" ht="15" hidden="false" customHeight="true" outlineLevel="0" collapsed="false">
      <c r="A42" s="5" t="s">
        <v>140</v>
      </c>
      <c r="B42" s="6" t="n">
        <v>46323</v>
      </c>
      <c r="C42" s="5" t="s">
        <v>141</v>
      </c>
      <c r="D42" s="7" t="s">
        <v>142</v>
      </c>
      <c r="E42" s="5" t="s">
        <v>143</v>
      </c>
      <c r="F42" s="8" t="n">
        <v>8.9</v>
      </c>
      <c r="G42" s="5" t="n">
        <v>21</v>
      </c>
      <c r="H42" s="5" t="s">
        <v>24</v>
      </c>
      <c r="I42" s="5" t="s">
        <v>140</v>
      </c>
    </row>
    <row r="43" customFormat="false" ht="15" hidden="false" customHeight="true" outlineLevel="0" collapsed="false">
      <c r="A43" s="5" t="s">
        <v>140</v>
      </c>
      <c r="B43" s="6" t="n">
        <v>46323</v>
      </c>
      <c r="C43" s="5" t="s">
        <v>144</v>
      </c>
      <c r="D43" s="7" t="s">
        <v>145</v>
      </c>
      <c r="E43" s="5" t="s">
        <v>146</v>
      </c>
      <c r="F43" s="8" t="n">
        <v>69</v>
      </c>
      <c r="G43" s="5" t="n">
        <v>67</v>
      </c>
      <c r="H43" s="5" t="s">
        <v>147</v>
      </c>
      <c r="I43" s="5" t="s">
        <v>140</v>
      </c>
    </row>
    <row r="44" customFormat="false" ht="15" hidden="false" customHeight="true" outlineLevel="0" collapsed="false">
      <c r="A44" s="5" t="s">
        <v>140</v>
      </c>
      <c r="B44" s="6" t="n">
        <v>46323</v>
      </c>
      <c r="C44" s="5" t="s">
        <v>148</v>
      </c>
      <c r="D44" s="7" t="s">
        <v>149</v>
      </c>
      <c r="E44" s="5" t="s">
        <v>150</v>
      </c>
      <c r="F44" s="8" t="n">
        <v>119</v>
      </c>
      <c r="G44" s="5" t="n">
        <v>17</v>
      </c>
      <c r="H44" s="5" t="s">
        <v>147</v>
      </c>
      <c r="I44" s="5" t="s">
        <v>140</v>
      </c>
    </row>
    <row r="45" customFormat="false" ht="15" hidden="false" customHeight="true" outlineLevel="0" collapsed="false">
      <c r="A45" s="5" t="s">
        <v>140</v>
      </c>
      <c r="B45" s="6" t="n">
        <v>46323</v>
      </c>
      <c r="C45" s="5" t="s">
        <v>151</v>
      </c>
      <c r="D45" s="7" t="s">
        <v>152</v>
      </c>
      <c r="E45" s="5" t="s">
        <v>153</v>
      </c>
      <c r="F45" s="8" t="n">
        <v>259</v>
      </c>
      <c r="G45" s="5" t="n">
        <v>21</v>
      </c>
      <c r="H45" s="5" t="s">
        <v>154</v>
      </c>
      <c r="I45" s="5" t="s">
        <v>140</v>
      </c>
    </row>
    <row r="46" customFormat="false" ht="15" hidden="false" customHeight="true" outlineLevel="0" collapsed="false">
      <c r="A46" s="5" t="s">
        <v>140</v>
      </c>
      <c r="B46" s="6" t="n">
        <v>46323</v>
      </c>
      <c r="C46" s="5" t="s">
        <v>155</v>
      </c>
      <c r="D46" s="7" t="s">
        <v>156</v>
      </c>
      <c r="E46" s="5" t="s">
        <v>157</v>
      </c>
      <c r="F46" s="8" t="n">
        <v>149</v>
      </c>
      <c r="G46" s="5" t="n">
        <v>18</v>
      </c>
      <c r="H46" s="5" t="s">
        <v>147</v>
      </c>
      <c r="I46" s="5" t="s">
        <v>140</v>
      </c>
    </row>
    <row r="47" customFormat="false" ht="15" hidden="false" customHeight="true" outlineLevel="0" collapsed="false">
      <c r="A47" s="5" t="s">
        <v>158</v>
      </c>
      <c r="B47" s="6" t="n">
        <v>46325</v>
      </c>
      <c r="C47" s="5" t="s">
        <v>159</v>
      </c>
      <c r="D47" s="7" t="s">
        <v>160</v>
      </c>
      <c r="E47" s="5" t="s">
        <v>161</v>
      </c>
      <c r="F47" s="8" t="n">
        <v>329</v>
      </c>
      <c r="G47" s="5" t="n">
        <v>10</v>
      </c>
      <c r="H47" s="5" t="s">
        <v>162</v>
      </c>
      <c r="I47" s="5" t="s">
        <v>158</v>
      </c>
    </row>
    <row r="48" customFormat="false" ht="15" hidden="false" customHeight="true" outlineLevel="0" collapsed="false">
      <c r="A48" s="5" t="s">
        <v>158</v>
      </c>
      <c r="B48" s="6" t="n">
        <v>46325</v>
      </c>
      <c r="C48" s="5" t="s">
        <v>163</v>
      </c>
      <c r="D48" s="7" t="s">
        <v>22</v>
      </c>
      <c r="E48" s="5" t="s">
        <v>164</v>
      </c>
      <c r="F48" s="8" t="n">
        <v>29</v>
      </c>
      <c r="G48" s="5" t="n">
        <v>128</v>
      </c>
      <c r="H48" s="5" t="s">
        <v>165</v>
      </c>
      <c r="I48" s="5" t="s">
        <v>158</v>
      </c>
    </row>
    <row r="49" customFormat="false" ht="15" hidden="false" customHeight="true" outlineLevel="0" collapsed="false">
      <c r="A49" s="5" t="s">
        <v>158</v>
      </c>
      <c r="B49" s="6" t="n">
        <v>46325</v>
      </c>
      <c r="C49" s="5" t="s">
        <v>166</v>
      </c>
      <c r="D49" s="7" t="s">
        <v>167</v>
      </c>
      <c r="E49" s="5" t="s">
        <v>168</v>
      </c>
      <c r="F49" s="8" t="n">
        <v>479</v>
      </c>
      <c r="G49" s="5" t="n">
        <v>90</v>
      </c>
      <c r="H49" s="5" t="s">
        <v>132</v>
      </c>
      <c r="I49" s="5" t="s">
        <v>158</v>
      </c>
    </row>
    <row r="50" customFormat="false" ht="15" hidden="false" customHeight="true" outlineLevel="0" collapsed="false">
      <c r="A50" s="9" t="s">
        <v>169</v>
      </c>
      <c r="C50" s="9" t="n">
        <f aca="false">COUNTA(C5:C49)</f>
        <v>45</v>
      </c>
    </row>
    <row r="51" customFormat="false" ht="15" hidden="false" customHeight="true" outlineLevel="0" collapsed="false">
      <c r="A51" s="9" t="s">
        <v>170</v>
      </c>
      <c r="F51" s="10" t="n">
        <f aca="false">SUMPRODUCT(F5:F49,G5:G49)</f>
        <v>1527471.4</v>
      </c>
      <c r="G51" s="3" t="s">
        <v>171</v>
      </c>
    </row>
    <row r="53" customFormat="false" ht="15" hidden="false" customHeight="true" outlineLevel="0" collapsed="false">
      <c r="A53" s="9" t="s">
        <v>172</v>
      </c>
    </row>
    <row r="54" customFormat="false" ht="15" hidden="false" customHeight="true" outlineLevel="0" collapsed="false">
      <c r="A54" s="11" t="s">
        <v>11</v>
      </c>
      <c r="B54" s="12" t="n">
        <v>46304</v>
      </c>
      <c r="C54" s="11" t="n">
        <f aca="false">COUNTIF(I5:I49,"*P01*")</f>
        <v>6</v>
      </c>
    </row>
    <row r="55" customFormat="false" ht="15" hidden="false" customHeight="true" outlineLevel="0" collapsed="false">
      <c r="A55" s="11" t="s">
        <v>39</v>
      </c>
      <c r="B55" s="12" t="n">
        <v>46307</v>
      </c>
      <c r="C55" s="11" t="n">
        <f aca="false">COUNTIF(I5:I49,"*P02*")</f>
        <v>5</v>
      </c>
    </row>
    <row r="56" customFormat="false" ht="15" hidden="false" customHeight="true" outlineLevel="0" collapsed="false">
      <c r="A56" s="11" t="s">
        <v>53</v>
      </c>
      <c r="B56" s="12" t="n">
        <v>46309</v>
      </c>
      <c r="C56" s="11" t="n">
        <f aca="false">COUNTIF(I5:I49,"*P03*")</f>
        <v>4</v>
      </c>
    </row>
    <row r="57" customFormat="false" ht="15" hidden="false" customHeight="true" outlineLevel="0" collapsed="false">
      <c r="A57" s="11" t="s">
        <v>64</v>
      </c>
      <c r="B57" s="12" t="n">
        <v>46311</v>
      </c>
      <c r="C57" s="11" t="n">
        <f aca="false">COUNTIF(I5:I49,"*P04*")</f>
        <v>5</v>
      </c>
    </row>
    <row r="58" customFormat="false" ht="15" hidden="false" customHeight="true" outlineLevel="0" collapsed="false">
      <c r="A58" s="11" t="s">
        <v>77</v>
      </c>
      <c r="B58" s="12" t="n">
        <v>46314</v>
      </c>
      <c r="C58" s="11" t="n">
        <f aca="false">COUNTIF(I5:I49,"*P05*")</f>
        <v>6</v>
      </c>
    </row>
    <row r="59" customFormat="false" ht="15" hidden="false" customHeight="true" outlineLevel="0" collapsed="false">
      <c r="A59" s="11" t="s">
        <v>99</v>
      </c>
      <c r="B59" s="12" t="n">
        <v>46316</v>
      </c>
      <c r="C59" s="11" t="n">
        <f aca="false">COUNTIF(I5:I49,"*P06*")</f>
        <v>5</v>
      </c>
    </row>
    <row r="60" customFormat="false" ht="15" hidden="false" customHeight="true" outlineLevel="0" collapsed="false">
      <c r="A60" s="11" t="s">
        <v>110</v>
      </c>
      <c r="B60" s="12" t="n">
        <v>46318</v>
      </c>
      <c r="C60" s="11" t="n">
        <f aca="false">COUNTIF(I5:I49,"*P07*")</f>
        <v>7</v>
      </c>
    </row>
    <row r="61" customFormat="false" ht="15" hidden="false" customHeight="true" outlineLevel="0" collapsed="false">
      <c r="A61" s="11" t="s">
        <v>128</v>
      </c>
      <c r="B61" s="12" t="n">
        <v>46321</v>
      </c>
      <c r="C61" s="11" t="n">
        <f aca="false">COUNTIF(I5:I49,"*P08*")</f>
        <v>3</v>
      </c>
    </row>
    <row r="62" customFormat="false" ht="15" hidden="false" customHeight="true" outlineLevel="0" collapsed="false">
      <c r="A62" s="11" t="s">
        <v>140</v>
      </c>
      <c r="B62" s="12" t="n">
        <v>46323</v>
      </c>
      <c r="C62" s="11" t="n">
        <f aca="false">COUNTIF(I5:I49,"*P09*")</f>
        <v>5</v>
      </c>
    </row>
    <row r="63" customFormat="false" ht="15" hidden="false" customHeight="true" outlineLevel="0" collapsed="false">
      <c r="A63" s="11" t="s">
        <v>158</v>
      </c>
      <c r="B63" s="12" t="n">
        <v>46325</v>
      </c>
      <c r="C63" s="11" t="n">
        <f aca="false">COUNTIF(I5:I49,"*P10*")</f>
        <v>3</v>
      </c>
    </row>
  </sheetData>
  <autoFilter ref="A4:I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60"/>
    <col collapsed="false" customWidth="true" hidden="false" outlineLevel="0" max="3" min="3" style="1" width="13"/>
    <col collapsed="false" customWidth="true" hidden="false" outlineLevel="0" max="4" min="4" style="1" width="95"/>
    <col collapsed="false" customWidth="true" hidden="false" outlineLevel="0" max="5" min="5" style="1" width="20"/>
  </cols>
  <sheetData>
    <row r="1" customFormat="false" ht="15" hidden="false" customHeight="true" outlineLevel="0" collapsed="false">
      <c r="A1" s="13" t="s">
        <v>4</v>
      </c>
      <c r="B1" s="13" t="s">
        <v>6</v>
      </c>
      <c r="C1" s="13" t="s">
        <v>7</v>
      </c>
      <c r="D1" s="13" t="s">
        <v>173</v>
      </c>
      <c r="E1" s="13" t="s">
        <v>174</v>
      </c>
    </row>
    <row r="2" customFormat="false" ht="15" hidden="false" customHeight="true" outlineLevel="0" collapsed="false">
      <c r="A2" s="11" t="s">
        <v>175</v>
      </c>
      <c r="B2" s="11" t="s">
        <v>176</v>
      </c>
      <c r="C2" s="14" t="n">
        <v>25.9</v>
      </c>
      <c r="D2" s="15" t="s">
        <v>177</v>
      </c>
      <c r="E2" s="11" t="s">
        <v>53</v>
      </c>
    </row>
    <row r="3" customFormat="false" ht="15" hidden="false" customHeight="true" outlineLevel="0" collapsed="false">
      <c r="A3" s="11" t="s">
        <v>178</v>
      </c>
      <c r="B3" s="11" t="s">
        <v>179</v>
      </c>
      <c r="C3" s="14" t="n">
        <v>29.9</v>
      </c>
      <c r="D3" s="15" t="s">
        <v>180</v>
      </c>
      <c r="E3" s="11" t="s">
        <v>181</v>
      </c>
    </row>
    <row r="4" customFormat="false" ht="15" hidden="false" customHeight="true" outlineLevel="0" collapsed="false">
      <c r="A4" s="11" t="s">
        <v>182</v>
      </c>
      <c r="B4" s="11" t="s">
        <v>183</v>
      </c>
      <c r="C4" s="14" t="n">
        <v>369</v>
      </c>
      <c r="D4" s="15" t="s">
        <v>184</v>
      </c>
      <c r="E4" s="11" t="s">
        <v>64</v>
      </c>
    </row>
    <row r="5" customFormat="false" ht="15" hidden="false" customHeight="true" outlineLevel="0" collapsed="false">
      <c r="A5" s="11" t="s">
        <v>185</v>
      </c>
      <c r="B5" s="11" t="s">
        <v>186</v>
      </c>
      <c r="C5" s="14" t="n">
        <v>699</v>
      </c>
      <c r="D5" s="15" t="s">
        <v>187</v>
      </c>
      <c r="E5" s="11" t="s">
        <v>128</v>
      </c>
    </row>
  </sheetData>
  <hyperlinks>
    <hyperlink ref="D2" r:id="rId1" display="https://kalo.yt/fr/accueil/2540-cuiseur-riz-15l-500w-cuissauto-ftgarder-chaudacc-rouge-fromatic.html"/>
    <hyperlink ref="D3" r:id="rId2" display="https://kalo.yt/fr/accueil/2542-cuiseur-riz-22l-900w-cuissauto-ftgarder-chaudacc-vert-fromatic.html"/>
    <hyperlink ref="D4" r:id="rId3" display="https://kalo.yt/fr/gros-electromenager/2821-mal-f-7kg-1200trmn-e-led-blanc-hyundai.html"/>
    <hyperlink ref="D5" r:id="rId4" display="https://kalo.yt/fr/accueil/1922-vitrine-boissons-370l-1-porte-eversteel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2026-10-06T07:53:41Z</dcterms:created>
  <dc:creator>openpyxl</dc:creator>
  <dc:description/>
  <dc:language>en-US</dc:language>
  <cp:lastModifiedBy/>
  <dcterms:modified xsi:type="dcterms:W3CDTF">2026-10-06T07:54:00Z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